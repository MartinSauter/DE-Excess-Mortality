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auter\Documents\Spaces\C19\Artikel exzm\BMC PH\BMC PH code\supplement\code\"/>
    </mc:Choice>
  </mc:AlternateContent>
  <xr:revisionPtr revIDLastSave="0" documentId="13_ncr:1_{732E4E4F-8155-480D-8518-87E89024E239}" xr6:coauthVersionLast="36" xr6:coauthVersionMax="36" xr10:uidLastSave="{00000000-0000-0000-0000-000000000000}"/>
  <bookViews>
    <workbookView xWindow="0" yWindow="0" windowWidth="19200" windowHeight="6870" xr2:uid="{00000000-000D-0000-FFFF-FFFF00000000}"/>
  </bookViews>
  <sheets>
    <sheet name="d_ag80" sheetId="1" r:id="rId1"/>
    <sheet name="reihenfolge" sheetId="2" r:id="rId2"/>
  </sheets>
  <calcPr calcId="191029"/>
</workbook>
</file>

<file path=xl/calcChain.xml><?xml version="1.0" encoding="utf-8"?>
<calcChain xmlns="http://schemas.openxmlformats.org/spreadsheetml/2006/main">
  <c r="G3" i="2" l="1" a="1"/>
  <c r="G3" i="2" s="1"/>
  <c r="H3" i="2" l="1"/>
  <c r="G3" i="1" a="1"/>
  <c r="G3" i="1" s="1"/>
  <c r="C11" i="2" l="1"/>
  <c r="D11" i="2" s="1"/>
  <c r="C9" i="2"/>
  <c r="D9" i="2" s="1"/>
  <c r="C3" i="2"/>
  <c r="D3" i="2" s="1"/>
  <c r="C4" i="2"/>
  <c r="D4" i="2" s="1"/>
  <c r="C1" i="2"/>
  <c r="D1" i="2" s="1"/>
  <c r="C5" i="2"/>
  <c r="D5" i="2" s="1"/>
  <c r="C2" i="2"/>
  <c r="D2" i="2" s="1"/>
  <c r="C6" i="2"/>
  <c r="D6" i="2" s="1"/>
  <c r="C7" i="2"/>
  <c r="D7" i="2" s="1"/>
  <c r="C10" i="2"/>
  <c r="D10" i="2" s="1"/>
  <c r="C8" i="2"/>
  <c r="D8" i="2" s="1"/>
  <c r="C2" i="1"/>
  <c r="D2" i="1" s="1"/>
  <c r="C5" i="1"/>
  <c r="D5" i="1" s="1"/>
  <c r="C3" i="1"/>
  <c r="D3" i="1" s="1"/>
  <c r="C6" i="1"/>
  <c r="D6" i="1" s="1"/>
  <c r="H3" i="1"/>
  <c r="C9" i="1" s="1"/>
  <c r="D9" i="1" s="1"/>
  <c r="C11" i="1" l="1"/>
  <c r="D11" i="1" s="1"/>
  <c r="C8" i="1"/>
  <c r="D8" i="1" s="1"/>
  <c r="C10" i="1"/>
  <c r="D10" i="1" s="1"/>
  <c r="C7" i="1"/>
  <c r="D7" i="1" s="1"/>
  <c r="C1" i="1"/>
  <c r="D1" i="1" s="1"/>
  <c r="C4" i="1"/>
  <c r="D4" i="1" s="1"/>
</calcChain>
</file>

<file path=xl/sharedStrings.xml><?xml version="1.0" encoding="utf-8"?>
<sst xmlns="http://schemas.openxmlformats.org/spreadsheetml/2006/main" count="7" uniqueCount="3">
  <si>
    <t>fit</t>
  </si>
  <si>
    <t>psc</t>
  </si>
  <si>
    <t>Paper 1!!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</si>
</sst>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1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6" sqref="E16"/>
    </sheetView>
  </sheetViews>
  <sheetFormatPr baseColWidth="10" defaultRowHeight="14.5" x14ac:dyDescent="0.35"/>
  <cols>
    <col min="3" max="3" width="10.6328125" style="2"/>
  </cols>
  <sheetData>
    <row r="1" spans="1:8" x14ac:dyDescent="0.35">
      <c r="A1" s="1">
        <v>616035</v>
      </c>
      <c r="B1" s="1">
        <v>2023</v>
      </c>
      <c r="C1" s="2">
        <f t="shared" ref="C1:C4" si="0">$G$3*B1+$H$3</f>
        <v>592880.71428571269</v>
      </c>
      <c r="D1" s="3">
        <f t="shared" ref="D1:D10" si="1">A1/C1-1</f>
        <v>3.9053868942563019E-2</v>
      </c>
    </row>
    <row r="2" spans="1:8" x14ac:dyDescent="0.35">
      <c r="A2" s="1">
        <v>643366</v>
      </c>
      <c r="B2" s="1">
        <v>2022</v>
      </c>
      <c r="C2" s="2">
        <f t="shared" si="0"/>
        <v>579902.42857142538</v>
      </c>
      <c r="D2" s="3">
        <f t="shared" si="1"/>
        <v>0.10943836118244143</v>
      </c>
    </row>
    <row r="3" spans="1:8" x14ac:dyDescent="0.35">
      <c r="A3" s="1">
        <v>602508</v>
      </c>
      <c r="B3" s="1">
        <v>2021</v>
      </c>
      <c r="C3" s="2">
        <f t="shared" si="0"/>
        <v>566924.14285714179</v>
      </c>
      <c r="D3" s="3">
        <f t="shared" si="1"/>
        <v>6.2766522807664149E-2</v>
      </c>
      <c r="F3" t="s">
        <v>0</v>
      </c>
      <c r="G3">
        <f t="array" ref="G3:H3">LINEST(A5:A11,B5:B11,TRUE)</f>
        <v>12978.285714285712</v>
      </c>
      <c r="H3">
        <v>-25662191.285714284</v>
      </c>
    </row>
    <row r="4" spans="1:8" x14ac:dyDescent="0.35">
      <c r="A4" s="1">
        <v>578499</v>
      </c>
      <c r="B4" s="1">
        <v>2020</v>
      </c>
      <c r="C4" s="2">
        <f t="shared" si="0"/>
        <v>553945.85714285448</v>
      </c>
      <c r="D4" s="3">
        <f t="shared" si="1"/>
        <v>4.432408427745238E-2</v>
      </c>
    </row>
    <row r="5" spans="1:8" x14ac:dyDescent="0.35">
      <c r="A5" s="4">
        <v>535494</v>
      </c>
      <c r="B5" s="4">
        <v>2019</v>
      </c>
      <c r="C5" s="2">
        <f t="shared" ref="C5:C10" si="2">$G$3*B5+$H$3</f>
        <v>540967.57142856717</v>
      </c>
      <c r="D5" s="3">
        <f t="shared" si="1"/>
        <v>-1.0118113760706149E-2</v>
      </c>
    </row>
    <row r="6" spans="1:8" x14ac:dyDescent="0.35">
      <c r="A6" s="4">
        <v>536895</v>
      </c>
      <c r="B6" s="4">
        <v>2018</v>
      </c>
      <c r="C6" s="2">
        <f t="shared" si="2"/>
        <v>527989.28571428359</v>
      </c>
      <c r="D6" s="3">
        <f t="shared" si="1"/>
        <v>1.6867225390129637E-2</v>
      </c>
    </row>
    <row r="7" spans="1:8" x14ac:dyDescent="0.35">
      <c r="A7" s="4">
        <v>517808</v>
      </c>
      <c r="B7" s="4">
        <v>2017</v>
      </c>
      <c r="C7" s="2">
        <f t="shared" si="2"/>
        <v>515010.99999999627</v>
      </c>
      <c r="D7" s="3">
        <f t="shared" si="1"/>
        <v>5.4309519602566692E-3</v>
      </c>
    </row>
    <row r="8" spans="1:8" x14ac:dyDescent="0.35">
      <c r="A8" s="4">
        <v>493160</v>
      </c>
      <c r="B8" s="4">
        <v>2016</v>
      </c>
      <c r="C8" s="2">
        <f t="shared" si="2"/>
        <v>502032.71428571269</v>
      </c>
      <c r="D8" s="3">
        <f t="shared" si="1"/>
        <v>-1.7673577902859727E-2</v>
      </c>
    </row>
    <row r="9" spans="1:8" x14ac:dyDescent="0.35">
      <c r="A9" s="4">
        <v>499911</v>
      </c>
      <c r="B9" s="4">
        <v>2015</v>
      </c>
      <c r="C9" s="2">
        <f t="shared" si="2"/>
        <v>489054.42857142538</v>
      </c>
      <c r="D9" s="3">
        <f t="shared" si="1"/>
        <v>2.2199106672620594E-2</v>
      </c>
    </row>
    <row r="10" spans="1:8" x14ac:dyDescent="0.35">
      <c r="A10" s="4">
        <v>458106</v>
      </c>
      <c r="B10" s="4">
        <v>2014</v>
      </c>
      <c r="C10" s="2">
        <f t="shared" si="2"/>
        <v>476076.14285714179</v>
      </c>
      <c r="D10" s="3">
        <f t="shared" si="1"/>
        <v>-3.7746362901730501E-2</v>
      </c>
    </row>
    <row r="11" spans="1:8" x14ac:dyDescent="0.35">
      <c r="A11" s="4">
        <v>472855</v>
      </c>
      <c r="B11" s="4">
        <v>2013</v>
      </c>
      <c r="C11" s="2">
        <f>$G$3*B11+$H$3</f>
        <v>463097.85714285448</v>
      </c>
      <c r="D11" s="3">
        <f>A11/C11-1</f>
        <v>2.1069289582429818E-2</v>
      </c>
    </row>
    <row r="12" spans="1:8" x14ac:dyDescent="0.35">
      <c r="C12" s="2" t="s">
        <v>0</v>
      </c>
      <c r="D12" t="s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B62C-2655-40BB-99E4-F7297A7239F6}">
  <dimension ref="A1:H12"/>
  <sheetViews>
    <sheetView workbookViewId="0">
      <selection activeCell="E12" sqref="E12"/>
    </sheetView>
  </sheetViews>
  <sheetFormatPr baseColWidth="10" defaultRowHeight="14.5" x14ac:dyDescent="0.35"/>
  <sheetData>
    <row r="1" spans="1:8" x14ac:dyDescent="0.35">
      <c r="A1" s="4">
        <v>472855</v>
      </c>
      <c r="B1" s="4">
        <v>2013</v>
      </c>
      <c r="C1" s="2">
        <f>$G$3*B1+$H$3</f>
        <v>463097.85714285448</v>
      </c>
      <c r="D1" s="3">
        <f>A1/C1-1</f>
        <v>2.1069289582429818E-2</v>
      </c>
    </row>
    <row r="2" spans="1:8" x14ac:dyDescent="0.35">
      <c r="A2" s="4">
        <v>458106</v>
      </c>
      <c r="B2" s="4">
        <v>2014</v>
      </c>
      <c r="C2" s="2">
        <f>$G$3*B2+$H$3</f>
        <v>476076.14285714179</v>
      </c>
      <c r="D2" s="3">
        <f>A2/C2-1</f>
        <v>-3.7746362901730501E-2</v>
      </c>
    </row>
    <row r="3" spans="1:8" x14ac:dyDescent="0.35">
      <c r="A3" s="4">
        <v>499911</v>
      </c>
      <c r="B3" s="4">
        <v>2015</v>
      </c>
      <c r="C3" s="2">
        <f>$G$3*B3+$H$3</f>
        <v>489054.42857142538</v>
      </c>
      <c r="D3" s="3">
        <f>A3/C3-1</f>
        <v>2.2199106672620594E-2</v>
      </c>
      <c r="F3" t="s">
        <v>0</v>
      </c>
      <c r="G3">
        <f t="array" ref="G3:H3">LINEST(A1:A7,B1:B7,TRUE)</f>
        <v>12978.285714285714</v>
      </c>
      <c r="H3">
        <v>-25662191.285714287</v>
      </c>
    </row>
    <row r="4" spans="1:8" x14ac:dyDescent="0.35">
      <c r="A4" s="4">
        <v>493160</v>
      </c>
      <c r="B4" s="4">
        <v>2016</v>
      </c>
      <c r="C4" s="2">
        <f>$G$3*B4+$H$3</f>
        <v>502032.71428571269</v>
      </c>
      <c r="D4" s="3">
        <f>A4/C4-1</f>
        <v>-1.7673577902859727E-2</v>
      </c>
    </row>
    <row r="5" spans="1:8" x14ac:dyDescent="0.35">
      <c r="A5" s="4">
        <v>517808</v>
      </c>
      <c r="B5" s="4">
        <v>2017</v>
      </c>
      <c r="C5" s="2">
        <f>$G$3*B5+$H$3</f>
        <v>515010.99999999627</v>
      </c>
      <c r="D5" s="3">
        <f>A5/C5-1</f>
        <v>5.4309519602566692E-3</v>
      </c>
    </row>
    <row r="6" spans="1:8" x14ac:dyDescent="0.35">
      <c r="A6" s="4">
        <v>536895</v>
      </c>
      <c r="B6" s="4">
        <v>2018</v>
      </c>
      <c r="C6" s="2">
        <f>$G$3*B6+$H$3</f>
        <v>527989.28571428359</v>
      </c>
      <c r="D6" s="3">
        <f>A6/C6-1</f>
        <v>1.6867225390129637E-2</v>
      </c>
      <c r="F6" t="s">
        <v>2</v>
      </c>
    </row>
    <row r="7" spans="1:8" x14ac:dyDescent="0.35">
      <c r="A7" s="4">
        <v>535494</v>
      </c>
      <c r="B7" s="4">
        <v>2019</v>
      </c>
      <c r="C7" s="2">
        <f>$G$3*B7+$H$3</f>
        <v>540967.57142856717</v>
      </c>
      <c r="D7" s="3">
        <f>A7/C7-1</f>
        <v>-1.0118113760706149E-2</v>
      </c>
    </row>
    <row r="8" spans="1:8" x14ac:dyDescent="0.35">
      <c r="A8" s="1">
        <v>578499</v>
      </c>
      <c r="B8" s="1">
        <v>2020</v>
      </c>
      <c r="C8" s="2">
        <f>$G$3*B8+$H$3</f>
        <v>553945.85714285448</v>
      </c>
      <c r="D8" s="3">
        <f>A8/C8-1</f>
        <v>4.432408427745238E-2</v>
      </c>
    </row>
    <row r="9" spans="1:8" x14ac:dyDescent="0.35">
      <c r="A9" s="1">
        <v>602508</v>
      </c>
      <c r="B9" s="1">
        <v>2021</v>
      </c>
      <c r="C9" s="2">
        <f>$G$3*B9+$H$3</f>
        <v>566924.14285714179</v>
      </c>
      <c r="D9" s="3">
        <f>A9/C9-1</f>
        <v>6.2766522807664149E-2</v>
      </c>
    </row>
    <row r="10" spans="1:8" x14ac:dyDescent="0.35">
      <c r="A10" s="1">
        <v>643366</v>
      </c>
      <c r="B10" s="1">
        <v>2022</v>
      </c>
      <c r="C10" s="2">
        <f>$G$3*B10+$H$3</f>
        <v>579902.42857142538</v>
      </c>
      <c r="D10" s="3">
        <f>A10/C10-1</f>
        <v>0.10943836118244143</v>
      </c>
    </row>
    <row r="11" spans="1:8" x14ac:dyDescent="0.35">
      <c r="A11" s="1">
        <v>616035</v>
      </c>
      <c r="B11" s="1">
        <v>2023</v>
      </c>
      <c r="C11" s="2">
        <f>$G$3*B11+$H$3</f>
        <v>592880.71428571269</v>
      </c>
      <c r="D11" s="3">
        <f>A11/C11-1</f>
        <v>3.9053868942563019E-2</v>
      </c>
    </row>
    <row r="12" spans="1:8" x14ac:dyDescent="0.35">
      <c r="C12" s="2" t="s">
        <v>0</v>
      </c>
      <c r="D12" t="s">
        <v>1</v>
      </c>
    </row>
  </sheetData>
  <sortState ref="A1:D12">
    <sortCondition ref="B1:B1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d_ag80</vt:lpstr>
      <vt:lpstr>reihenfolge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Sauter</cp:lastModifiedBy>
  <cp:lastPrinted>2026-01-22T07:26:22Z</cp:lastPrinted>
  <dcterms:created xsi:type="dcterms:W3CDTF">2026-01-21T08:30:30Z</dcterms:created>
  <dcterms:modified xsi:type="dcterms:W3CDTF">2026-01-22T08:15:37Z</dcterms:modified>
</cp:coreProperties>
</file>